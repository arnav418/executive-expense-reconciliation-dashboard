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Desktop\"/>
    </mc:Choice>
  </mc:AlternateContent>
  <xr:revisionPtr revIDLastSave="0" documentId="8_{EB5CC154-60F1-4B5C-BD65-CB3A03402D0D}" xr6:coauthVersionLast="47" xr6:coauthVersionMax="47" xr10:uidLastSave="{00000000-0000-0000-0000-000000000000}"/>
  <bookViews>
    <workbookView xWindow="-108" yWindow="-108" windowWidth="23256" windowHeight="12456" activeTab="2" xr2:uid="{E92D0F99-801D-41AC-9433-65AC0D2A6B87}"/>
  </bookViews>
  <sheets>
    <sheet name="Expense Data" sheetId="1" r:id="rId1"/>
    <sheet name="Reconciliation" sheetId="2" r:id="rId2"/>
    <sheet name="Dashboard" sheetId="3" r:id="rId3"/>
    <sheet name="Lis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J23" i="3"/>
  <c r="J22" i="3"/>
  <c r="J21" i="3"/>
  <c r="J20" i="3"/>
  <c r="B26" i="3"/>
  <c r="B27" i="3"/>
  <c r="B28" i="3"/>
  <c r="B25" i="3"/>
  <c r="B20" i="3"/>
  <c r="B21" i="3"/>
  <c r="B19" i="3"/>
  <c r="B9" i="3"/>
  <c r="B10" i="3"/>
  <c r="B11" i="3"/>
  <c r="B12" i="3"/>
  <c r="B13" i="3"/>
  <c r="B14" i="3"/>
  <c r="B15" i="3"/>
  <c r="B8" i="3"/>
  <c r="G4" i="3"/>
  <c r="E4" i="3"/>
  <c r="C4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C2" i="2"/>
  <c r="B2" i="2"/>
  <c r="A2" i="2"/>
</calcChain>
</file>

<file path=xl/sharedStrings.xml><?xml version="1.0" encoding="utf-8"?>
<sst xmlns="http://schemas.openxmlformats.org/spreadsheetml/2006/main" count="215" uniqueCount="100">
  <si>
    <t>Travel</t>
  </si>
  <si>
    <t>Accommodation</t>
  </si>
  <si>
    <t>Meals</t>
  </si>
  <si>
    <t>Transportation</t>
  </si>
  <si>
    <t>Office Supplies</t>
  </si>
  <si>
    <t>Client Entertainment</t>
  </si>
  <si>
    <t>Communication</t>
  </si>
  <si>
    <t>Other</t>
  </si>
  <si>
    <t>Expense Categories</t>
  </si>
  <si>
    <t>Payment Methods</t>
  </si>
  <si>
    <t>Corporate Card</t>
  </si>
  <si>
    <t>Personal Card</t>
  </si>
  <si>
    <t>Cash</t>
  </si>
  <si>
    <t>Bank Transfer</t>
  </si>
  <si>
    <t>Approval Status</t>
  </si>
  <si>
    <t>Pending</t>
  </si>
  <si>
    <t>Approved</t>
  </si>
  <si>
    <t>Rejected</t>
  </si>
  <si>
    <t>Reimbursement Status</t>
  </si>
  <si>
    <t>Not Applicable</t>
  </si>
  <si>
    <t>Processing</t>
  </si>
  <si>
    <t>Reimbursed</t>
  </si>
  <si>
    <t>Receipt Status</t>
  </si>
  <si>
    <t>Available</t>
  </si>
  <si>
    <t>Missing</t>
  </si>
  <si>
    <t>Not Required</t>
  </si>
  <si>
    <t>Expense ID</t>
  </si>
  <si>
    <t>Executive Name</t>
  </si>
  <si>
    <t>Expense Date</t>
  </si>
  <si>
    <t>Category</t>
  </si>
  <si>
    <t>Description</t>
  </si>
  <si>
    <t>Vendor</t>
  </si>
  <si>
    <t>Amount</t>
  </si>
  <si>
    <t>Payment Method</t>
  </si>
  <si>
    <t>EXP001</t>
  </si>
  <si>
    <t>Arjun Mehta</t>
  </si>
  <si>
    <t>Flight to Bengaluru</t>
  </si>
  <si>
    <t>IndiGo</t>
  </si>
  <si>
    <t>EXP002</t>
  </si>
  <si>
    <t>Hotel stay - Bengaluru</t>
  </si>
  <si>
    <t>Taj Hotels</t>
  </si>
  <si>
    <t>EXP003</t>
  </si>
  <si>
    <t>Priya Sharma</t>
  </si>
  <si>
    <t>Client dinner</t>
  </si>
  <si>
    <t>Masala Library</t>
  </si>
  <si>
    <t>EXP004</t>
  </si>
  <si>
    <t>Rahul Kapoor</t>
  </si>
  <si>
    <t>Cab to client office</t>
  </si>
  <si>
    <t>Uber</t>
  </si>
  <si>
    <t>EXP005</t>
  </si>
  <si>
    <t>Stationery purchase</t>
  </si>
  <si>
    <t>Staples</t>
  </si>
  <si>
    <t>EXP006</t>
  </si>
  <si>
    <t>Flight to Mumbai</t>
  </si>
  <si>
    <t>Air India</t>
  </si>
  <si>
    <t>EXP007</t>
  </si>
  <si>
    <t>Mobile reimbursement</t>
  </si>
  <si>
    <t>Airtel</t>
  </si>
  <si>
    <t>EXP008</t>
  </si>
  <si>
    <t>Hotel stay - Pune</t>
  </si>
  <si>
    <t>Marriott</t>
  </si>
  <si>
    <t>EXP009</t>
  </si>
  <si>
    <t>Team lunch</t>
  </si>
  <si>
    <t>The Bombay Canteen</t>
  </si>
  <si>
    <t>EXP010</t>
  </si>
  <si>
    <t>Airport transfer</t>
  </si>
  <si>
    <t>Ola</t>
  </si>
  <si>
    <t>EXP011</t>
  </si>
  <si>
    <t>Train to Mumbai</t>
  </si>
  <si>
    <t>IRCTC</t>
  </si>
  <si>
    <t>EXP012</t>
  </si>
  <si>
    <t>Client meeting lunch</t>
  </si>
  <si>
    <t>ITC Grand</t>
  </si>
  <si>
    <t>EXP013</t>
  </si>
  <si>
    <t>Printer supplies</t>
  </si>
  <si>
    <t>Amazon Business</t>
  </si>
  <si>
    <t>EXP014</t>
  </si>
  <si>
    <t>Internet reimbursement</t>
  </si>
  <si>
    <t>Jio</t>
  </si>
  <si>
    <t>EXP015</t>
  </si>
  <si>
    <t>Flight to Delhi</t>
  </si>
  <si>
    <t>Vistara</t>
  </si>
  <si>
    <t>Receipt Check</t>
  </si>
  <si>
    <t>Approval Check</t>
  </si>
  <si>
    <t>Reimbursement Check</t>
  </si>
  <si>
    <t>Overall Status</t>
  </si>
  <si>
    <t>Duplicate Check</t>
  </si>
  <si>
    <t>Executive Expense &amp; Reconciliation Dashboard</t>
  </si>
  <si>
    <t>Total Expenses</t>
  </si>
  <si>
    <t>Approved Amount</t>
  </si>
  <si>
    <t>Pending Amount</t>
  </si>
  <si>
    <t>Reimbursed Amount</t>
  </si>
  <si>
    <t>Total Amount</t>
  </si>
  <si>
    <t>Count</t>
  </si>
  <si>
    <t>Exception Summary</t>
  </si>
  <si>
    <t>Issue</t>
  </si>
  <si>
    <t>Pending Approval</t>
  </si>
  <si>
    <t>Pending Reimbursement</t>
  </si>
  <si>
    <t>Missing Receipt</t>
  </si>
  <si>
    <t>Duplicate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</si>
</sst>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₹&quot;\ * #,##0_ ;_ &quot;₹&quot;\ * \-#,##0_ ;_ &quot;₹&quot;\ * &quot;-&quot;_ ;_ @_ "/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4" fontId="3" fillId="2" borderId="1" xfId="1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2" fillId="3" borderId="0" xfId="0" applyFont="1" applyFill="1"/>
    <xf numFmtId="42" fontId="0" fillId="0" borderId="0" xfId="0" applyNumberFormat="1"/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9486111111111112"/>
          <c:w val="0.86486351706036746"/>
          <c:h val="0.485397710702828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Dashboard!$A$8:$A$15</c:f>
              <c:strCache>
                <c:ptCount val="8"/>
                <c:pt idx="0">
                  <c:v>Travel</c:v>
                </c:pt>
                <c:pt idx="1">
                  <c:v>Accommodation</c:v>
                </c:pt>
                <c:pt idx="2">
                  <c:v>Meals</c:v>
                </c:pt>
                <c:pt idx="3">
                  <c:v>Transportation</c:v>
                </c:pt>
                <c:pt idx="4">
                  <c:v>Office Supplies</c:v>
                </c:pt>
                <c:pt idx="5">
                  <c:v>Client Entertainment</c:v>
                </c:pt>
                <c:pt idx="6">
                  <c:v>Communication</c:v>
                </c:pt>
                <c:pt idx="7">
                  <c:v>Other</c:v>
                </c:pt>
              </c:strCache>
            </c:strRef>
          </c:cat>
          <c:val>
            <c:numRef>
              <c:f>Dashboard!$B$8:$B$15</c:f>
              <c:numCache>
                <c:formatCode>_("₹"* #,##0_);_("₹"* \(#,##0\);_("₹"* "-"_);_(@_)</c:formatCode>
                <c:ptCount val="8"/>
                <c:pt idx="0">
                  <c:v>26750</c:v>
                </c:pt>
                <c:pt idx="1">
                  <c:v>22300</c:v>
                </c:pt>
                <c:pt idx="2">
                  <c:v>7700</c:v>
                </c:pt>
                <c:pt idx="3">
                  <c:v>1950</c:v>
                </c:pt>
                <c:pt idx="4">
                  <c:v>4050</c:v>
                </c:pt>
                <c:pt idx="5">
                  <c:v>5600</c:v>
                </c:pt>
                <c:pt idx="6">
                  <c:v>2199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8-4943-9ACF-E06B28F4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2244992"/>
        <c:axId val="651895024"/>
      </c:barChart>
      <c:catAx>
        <c:axId val="912244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95024"/>
        <c:crosses val="autoZero"/>
        <c:auto val="1"/>
        <c:lblAlgn val="ctr"/>
        <c:lblOffset val="100"/>
        <c:noMultiLvlLbl val="0"/>
      </c:catAx>
      <c:valAx>
        <c:axId val="6518950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4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Dashboard!$A$19:$A$21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Dashboard!$B$19:$B$21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3-413B-85E0-90F9848AD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Reimbursement Status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Dashboard!$A$25:$A$28</c:f>
              <c:strCache>
                <c:ptCount val="4"/>
                <c:pt idx="0">
                  <c:v>Reimbursed</c:v>
                </c:pt>
                <c:pt idx="1">
                  <c:v>Pending</c:v>
                </c:pt>
                <c:pt idx="2">
                  <c:v>Processing</c:v>
                </c:pt>
                <c:pt idx="3">
                  <c:v>Rejected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E-4A97-87DB-890AC1064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5</xdr:row>
      <xdr:rowOff>156210</xdr:rowOff>
    </xdr:from>
    <xdr:to>
      <xdr:col>6</xdr:col>
      <xdr:colOff>525780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F73E52-2CAE-2109-14B9-D9C206DBB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575429</xdr:colOff>
      <xdr:row>5</xdr:row>
      <xdr:rowOff>162355</xdr:rowOff>
    </xdr:from>
    <xdr:to>
      <xdr:col>9</xdr:col>
      <xdr:colOff>511127</xdr:colOff>
      <xdr:row>15</xdr:row>
      <xdr:rowOff>177596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A3C3A4-6707-C526-4F38-C28ED58B9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261319</xdr:colOff>
      <xdr:row>20</xdr:row>
      <xdr:rowOff>152289</xdr:rowOff>
    </xdr:from>
    <xdr:to>
      <xdr:col>5</xdr:col>
      <xdr:colOff>396240</xdr:colOff>
      <xdr:row>29</xdr:row>
      <xdr:rowOff>91441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ACFD8-B088-4D56-8F19-AC28BD554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E500F-F505-4B4C-B30C-141F15F0ADCF}" name="ExpenseTable" displayName="ExpenseTable" ref="A1:K17" totalsRowShown="0">
  <autoFilter ref="A1:K17" xr:uid="{146E500F-F505-4B4C-B30C-141F15F0ADCF}"/>
  <tableColumns count="11">
    <tableColumn id="1" xr3:uid="{6C2FEEDE-A608-4D71-A166-549479D45E96}" name="Expense ID"/>
    <tableColumn id="2" xr3:uid="{1BE3A6F1-7266-4063-974E-80D8B6A4380E}" name="Executive Name"/>
    <tableColumn id="3" xr3:uid="{0B7A2C88-5CED-47DB-A491-178E849FC082}" name="Expense Date" dataDxfId="6"/>
    <tableColumn id="4" xr3:uid="{86C6B873-2AA6-4118-80D3-597E38776B0E}" name="Category"/>
    <tableColumn id="5" xr3:uid="{5E66DD5F-E03B-4B5F-9674-9AA7FFC617A4}" name="Description"/>
    <tableColumn id="6" xr3:uid="{E64B967A-E979-4984-A57F-CD66216B8D15}" name="Vendor"/>
    <tableColumn id="7" xr3:uid="{35761352-5C1E-4ED3-A66D-297ADED324D8}" name="Amount"/>
    <tableColumn id="8" xr3:uid="{830B672D-0D62-47AD-9EBE-6C1427742276}" name="Payment Method"/>
    <tableColumn id="9" xr3:uid="{D9832B9A-0BCC-42C9-94A2-9AB17EB6861C}" name="Receipt Status"/>
    <tableColumn id="10" xr3:uid="{A0070971-E0EA-4A63-BD61-5FA8FDA2E89D}" name="Approval Status"/>
    <tableColumn id="11" xr3:uid="{BD65475E-2D8E-4A4D-980F-ABACEF731640}" name="Reimburse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2EA6-32AA-46F9-BE44-A7BBF0EF3151}">
  <dimension ref="A1:K17"/>
  <sheetViews>
    <sheetView workbookViewId="0">
      <selection activeCell="G6" sqref="G6"/>
    </sheetView>
  </sheetViews>
  <sheetFormatPr defaultRowHeight="14.4" x14ac:dyDescent="0.3"/>
  <cols>
    <col min="1" max="1" width="14.109375" customWidth="1"/>
    <col min="2" max="2" width="16.33203125" customWidth="1"/>
    <col min="3" max="3" width="16.6640625" customWidth="1"/>
    <col min="4" max="4" width="18.109375" customWidth="1"/>
    <col min="5" max="5" width="16" customWidth="1"/>
    <col min="6" max="6" width="16.5546875" customWidth="1"/>
    <col min="7" max="7" width="13" customWidth="1"/>
    <col min="8" max="8" width="17.77734375" customWidth="1"/>
    <col min="9" max="9" width="17.109375" customWidth="1"/>
    <col min="10" max="10" width="16.21875" customWidth="1"/>
    <col min="11" max="11" width="21.88671875" customWidth="1"/>
  </cols>
  <sheetData>
    <row r="1" spans="1:11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22</v>
      </c>
      <c r="J1" t="s">
        <v>14</v>
      </c>
      <c r="K1" t="s">
        <v>18</v>
      </c>
    </row>
    <row r="2" spans="1:11" x14ac:dyDescent="0.3">
      <c r="A2" t="s">
        <v>34</v>
      </c>
      <c r="B2" t="s">
        <v>35</v>
      </c>
      <c r="C2" s="1">
        <v>46266</v>
      </c>
      <c r="D2" t="s">
        <v>0</v>
      </c>
      <c r="E2" t="s">
        <v>36</v>
      </c>
      <c r="F2" t="s">
        <v>37</v>
      </c>
      <c r="G2">
        <v>8500</v>
      </c>
      <c r="H2" t="s">
        <v>10</v>
      </c>
      <c r="I2" t="s">
        <v>23</v>
      </c>
      <c r="J2" t="s">
        <v>16</v>
      </c>
      <c r="K2" t="s">
        <v>21</v>
      </c>
    </row>
    <row r="3" spans="1:11" x14ac:dyDescent="0.3">
      <c r="A3" t="s">
        <v>38</v>
      </c>
      <c r="B3" t="s">
        <v>35</v>
      </c>
      <c r="C3" s="1">
        <v>46267</v>
      </c>
      <c r="D3" t="s">
        <v>1</v>
      </c>
      <c r="E3" t="s">
        <v>39</v>
      </c>
      <c r="F3" t="s">
        <v>40</v>
      </c>
      <c r="G3">
        <v>12500</v>
      </c>
      <c r="H3" t="s">
        <v>10</v>
      </c>
      <c r="I3" t="s">
        <v>23</v>
      </c>
      <c r="J3" t="s">
        <v>16</v>
      </c>
      <c r="K3" t="s">
        <v>21</v>
      </c>
    </row>
    <row r="4" spans="1:11" x14ac:dyDescent="0.3">
      <c r="A4" t="s">
        <v>41</v>
      </c>
      <c r="B4" t="s">
        <v>42</v>
      </c>
      <c r="C4" s="1">
        <v>46268</v>
      </c>
      <c r="D4" t="s">
        <v>2</v>
      </c>
      <c r="E4" t="s">
        <v>43</v>
      </c>
      <c r="F4" t="s">
        <v>44</v>
      </c>
      <c r="G4">
        <v>4200</v>
      </c>
      <c r="H4" t="s">
        <v>10</v>
      </c>
      <c r="I4" t="s">
        <v>23</v>
      </c>
      <c r="J4" t="s">
        <v>16</v>
      </c>
      <c r="K4" t="s">
        <v>21</v>
      </c>
    </row>
    <row r="5" spans="1:11" x14ac:dyDescent="0.3">
      <c r="A5" t="s">
        <v>45</v>
      </c>
      <c r="B5" t="s">
        <v>46</v>
      </c>
      <c r="C5" s="1">
        <v>46269</v>
      </c>
      <c r="D5" t="s">
        <v>3</v>
      </c>
      <c r="E5" t="s">
        <v>47</v>
      </c>
      <c r="F5" t="s">
        <v>48</v>
      </c>
      <c r="G5">
        <v>850</v>
      </c>
      <c r="H5" t="s">
        <v>11</v>
      </c>
      <c r="I5" t="s">
        <v>23</v>
      </c>
      <c r="J5" t="s">
        <v>16</v>
      </c>
      <c r="K5" t="s">
        <v>21</v>
      </c>
    </row>
    <row r="6" spans="1:11" x14ac:dyDescent="0.3">
      <c r="A6" t="s">
        <v>49</v>
      </c>
      <c r="B6" t="s">
        <v>42</v>
      </c>
      <c r="C6" s="1">
        <v>46270</v>
      </c>
      <c r="D6" t="s">
        <v>4</v>
      </c>
      <c r="E6" t="s">
        <v>50</v>
      </c>
      <c r="F6" t="s">
        <v>51</v>
      </c>
      <c r="G6">
        <v>1750</v>
      </c>
      <c r="H6" t="s">
        <v>11</v>
      </c>
      <c r="I6" t="s">
        <v>23</v>
      </c>
      <c r="J6" t="s">
        <v>16</v>
      </c>
      <c r="K6" t="s">
        <v>15</v>
      </c>
    </row>
    <row r="7" spans="1:11" x14ac:dyDescent="0.3">
      <c r="A7" t="s">
        <v>52</v>
      </c>
      <c r="B7" t="s">
        <v>35</v>
      </c>
      <c r="C7" s="1">
        <v>46271</v>
      </c>
      <c r="D7" t="s">
        <v>0</v>
      </c>
      <c r="E7" t="s">
        <v>53</v>
      </c>
      <c r="F7" t="s">
        <v>54</v>
      </c>
      <c r="G7">
        <v>7200</v>
      </c>
      <c r="H7" t="s">
        <v>10</v>
      </c>
      <c r="I7" t="s">
        <v>23</v>
      </c>
      <c r="J7" t="s">
        <v>16</v>
      </c>
      <c r="K7" t="s">
        <v>20</v>
      </c>
    </row>
    <row r="8" spans="1:11" x14ac:dyDescent="0.3">
      <c r="A8" t="s">
        <v>55</v>
      </c>
      <c r="B8" t="s">
        <v>46</v>
      </c>
      <c r="C8" s="1">
        <v>46272</v>
      </c>
      <c r="D8" t="s">
        <v>6</v>
      </c>
      <c r="E8" t="s">
        <v>56</v>
      </c>
      <c r="F8" t="s">
        <v>57</v>
      </c>
      <c r="G8">
        <v>1200</v>
      </c>
      <c r="H8" t="s">
        <v>11</v>
      </c>
      <c r="I8" t="s">
        <v>23</v>
      </c>
      <c r="J8" t="s">
        <v>15</v>
      </c>
      <c r="K8" t="s">
        <v>15</v>
      </c>
    </row>
    <row r="9" spans="1:11" x14ac:dyDescent="0.3">
      <c r="A9" t="s">
        <v>58</v>
      </c>
      <c r="B9" t="s">
        <v>42</v>
      </c>
      <c r="C9" s="1">
        <v>46273</v>
      </c>
      <c r="D9" t="s">
        <v>1</v>
      </c>
      <c r="E9" t="s">
        <v>59</v>
      </c>
      <c r="F9" t="s">
        <v>60</v>
      </c>
      <c r="G9">
        <v>9800</v>
      </c>
      <c r="H9" t="s">
        <v>10</v>
      </c>
      <c r="I9" t="s">
        <v>23</v>
      </c>
      <c r="J9" t="s">
        <v>16</v>
      </c>
      <c r="K9" t="s">
        <v>21</v>
      </c>
    </row>
    <row r="10" spans="1:11" x14ac:dyDescent="0.3">
      <c r="A10" t="s">
        <v>61</v>
      </c>
      <c r="B10" t="s">
        <v>35</v>
      </c>
      <c r="C10" s="1">
        <v>46274</v>
      </c>
      <c r="D10" t="s">
        <v>2</v>
      </c>
      <c r="E10" t="s">
        <v>62</v>
      </c>
      <c r="F10" t="s">
        <v>63</v>
      </c>
      <c r="G10">
        <v>3500</v>
      </c>
      <c r="H10" t="s">
        <v>10</v>
      </c>
      <c r="I10" t="s">
        <v>23</v>
      </c>
      <c r="J10" t="s">
        <v>15</v>
      </c>
      <c r="K10" t="s">
        <v>15</v>
      </c>
    </row>
    <row r="11" spans="1:11" x14ac:dyDescent="0.3">
      <c r="A11" t="s">
        <v>64</v>
      </c>
      <c r="B11" t="s">
        <v>46</v>
      </c>
      <c r="C11" s="1">
        <v>46275</v>
      </c>
      <c r="D11" t="s">
        <v>3</v>
      </c>
      <c r="E11" t="s">
        <v>65</v>
      </c>
      <c r="F11" t="s">
        <v>66</v>
      </c>
      <c r="G11">
        <v>1100</v>
      </c>
      <c r="H11" t="s">
        <v>11</v>
      </c>
      <c r="I11" t="s">
        <v>24</v>
      </c>
      <c r="J11" t="s">
        <v>16</v>
      </c>
      <c r="K11" t="s">
        <v>15</v>
      </c>
    </row>
    <row r="12" spans="1:11" x14ac:dyDescent="0.3">
      <c r="A12" t="s">
        <v>67</v>
      </c>
      <c r="B12" t="s">
        <v>42</v>
      </c>
      <c r="C12" s="1">
        <v>46276</v>
      </c>
      <c r="D12" t="s">
        <v>0</v>
      </c>
      <c r="E12" t="s">
        <v>68</v>
      </c>
      <c r="F12" t="s">
        <v>69</v>
      </c>
      <c r="G12">
        <v>1850</v>
      </c>
      <c r="H12" t="s">
        <v>10</v>
      </c>
      <c r="I12" t="s">
        <v>23</v>
      </c>
      <c r="J12" t="s">
        <v>16</v>
      </c>
      <c r="K12" t="s">
        <v>21</v>
      </c>
    </row>
    <row r="13" spans="1:11" x14ac:dyDescent="0.3">
      <c r="A13" t="s">
        <v>70</v>
      </c>
      <c r="B13" t="s">
        <v>35</v>
      </c>
      <c r="C13" s="1">
        <v>46277</v>
      </c>
      <c r="D13" t="s">
        <v>5</v>
      </c>
      <c r="E13" t="s">
        <v>71</v>
      </c>
      <c r="F13" t="s">
        <v>72</v>
      </c>
      <c r="G13">
        <v>5600</v>
      </c>
      <c r="H13" t="s">
        <v>10</v>
      </c>
      <c r="I13" t="s">
        <v>23</v>
      </c>
      <c r="J13" t="s">
        <v>16</v>
      </c>
      <c r="K13" t="s">
        <v>20</v>
      </c>
    </row>
    <row r="14" spans="1:11" x14ac:dyDescent="0.3">
      <c r="A14" t="s">
        <v>73</v>
      </c>
      <c r="B14" t="s">
        <v>46</v>
      </c>
      <c r="C14" s="1">
        <v>46278</v>
      </c>
      <c r="D14" t="s">
        <v>4</v>
      </c>
      <c r="E14" t="s">
        <v>74</v>
      </c>
      <c r="F14" t="s">
        <v>75</v>
      </c>
      <c r="G14">
        <v>2300</v>
      </c>
      <c r="H14" t="s">
        <v>10</v>
      </c>
      <c r="I14" t="s">
        <v>23</v>
      </c>
      <c r="J14" t="s">
        <v>16</v>
      </c>
      <c r="K14" t="s">
        <v>21</v>
      </c>
    </row>
    <row r="15" spans="1:11" x14ac:dyDescent="0.3">
      <c r="A15" t="s">
        <v>76</v>
      </c>
      <c r="B15" t="s">
        <v>42</v>
      </c>
      <c r="C15" s="1">
        <v>46279</v>
      </c>
      <c r="D15" t="s">
        <v>6</v>
      </c>
      <c r="E15" t="s">
        <v>77</v>
      </c>
      <c r="F15" t="s">
        <v>78</v>
      </c>
      <c r="G15">
        <v>999</v>
      </c>
      <c r="H15" t="s">
        <v>11</v>
      </c>
      <c r="I15" t="s">
        <v>23</v>
      </c>
      <c r="J15" t="s">
        <v>15</v>
      </c>
      <c r="K15" t="s">
        <v>15</v>
      </c>
    </row>
    <row r="16" spans="1:11" x14ac:dyDescent="0.3">
      <c r="A16" t="s">
        <v>79</v>
      </c>
      <c r="B16" t="s">
        <v>35</v>
      </c>
      <c r="C16" s="1">
        <v>46280</v>
      </c>
      <c r="D16" t="s">
        <v>0</v>
      </c>
      <c r="E16" t="s">
        <v>80</v>
      </c>
      <c r="F16" t="s">
        <v>81</v>
      </c>
      <c r="G16">
        <v>9200</v>
      </c>
      <c r="H16" t="s">
        <v>10</v>
      </c>
      <c r="I16" t="s">
        <v>23</v>
      </c>
      <c r="J16" t="s">
        <v>16</v>
      </c>
      <c r="K16" t="s">
        <v>21</v>
      </c>
    </row>
    <row r="17" spans="3:3" x14ac:dyDescent="0.3">
      <c r="C17" s="1"/>
    </row>
  </sheetData>
  <conditionalFormatting sqref="I2:I17">
    <cfRule type="containsText" dxfId="5" priority="6" operator="containsText" text="Missing">
      <formula>NOT(ISERROR(SEARCH("Missing",I2)))</formula>
    </cfRule>
  </conditionalFormatting>
  <conditionalFormatting sqref="J2:J17">
    <cfRule type="containsText" dxfId="4" priority="4" operator="containsText" text="Pending">
      <formula>NOT(ISERROR(SEARCH("Pending",J2)))</formula>
    </cfRule>
    <cfRule type="containsText" dxfId="3" priority="5" operator="containsText" text="Pending">
      <formula>NOT(ISERROR(SEARCH("Pending",J2)))</formula>
    </cfRule>
  </conditionalFormatting>
  <conditionalFormatting sqref="K2:K17">
    <cfRule type="containsText" dxfId="2" priority="1" operator="containsText" text="Reimbursed">
      <formula>NOT(ISERROR(SEARCH("Reimbursed",K2)))</formula>
    </cfRule>
    <cfRule type="containsText" dxfId="1" priority="2" operator="containsText" text="Pending">
      <formula>NOT(ISERROR(SEARCH("Pending",K2)))</formula>
    </cfRule>
    <cfRule type="containsText" dxfId="0" priority="3" operator="containsText" text="Pending">
      <formula>NOT(ISERROR(SEARCH("Pending",K2)))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9C215FA-8FE5-4642-AE4C-FC9609C1D688}">
          <x14:formula1>
            <xm:f>Lists!$A$2:$A$9</xm:f>
          </x14:formula1>
          <xm:sqref>D2:D17</xm:sqref>
        </x14:dataValidation>
        <x14:dataValidation type="list" allowBlank="1" showInputMessage="1" showErrorMessage="1" xr:uid="{BFD5B688-CC36-42B2-9009-0EFA66F44FA3}">
          <x14:formula1>
            <xm:f>Lists!$B$2:$B$5</xm:f>
          </x14:formula1>
          <xm:sqref>H2:H17</xm:sqref>
        </x14:dataValidation>
        <x14:dataValidation type="list" allowBlank="1" showInputMessage="1" showErrorMessage="1" xr:uid="{792A1FE2-664B-4EDC-BDF3-AB45770C4538}">
          <x14:formula1>
            <xm:f>Lists!$E$2:$E$4</xm:f>
          </x14:formula1>
          <xm:sqref>I2:I17</xm:sqref>
        </x14:dataValidation>
        <x14:dataValidation type="list" allowBlank="1" showInputMessage="1" showErrorMessage="1" xr:uid="{0A06B94F-D21B-4AB6-8E78-0D01A1334D78}">
          <x14:formula1>
            <xm:f>Lists!$C$2:$C$4</xm:f>
          </x14:formula1>
          <xm:sqref>J2:J17</xm:sqref>
        </x14:dataValidation>
        <x14:dataValidation type="list" allowBlank="1" showInputMessage="1" showErrorMessage="1" xr:uid="{CB2E2EC7-6372-4438-BEDC-57B77698F6C4}">
          <x14:formula1>
            <xm:f>Lists!$D$2:$D$6</xm:f>
          </x14:formula1>
          <xm:sqref>K2:K17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FA3-73B2-4422-AECD-F4EF8E1B147F}">
  <dimension ref="A1:H16"/>
  <sheetViews>
    <sheetView workbookViewId="0">
      <selection activeCell="F23" sqref="F23"/>
    </sheetView>
  </sheetViews>
  <sheetFormatPr defaultRowHeight="14.4" x14ac:dyDescent="0.3"/>
  <cols>
    <col min="1" max="1" width="15.5546875" customWidth="1"/>
    <col min="2" max="2" width="21.44140625" customWidth="1"/>
    <col min="3" max="3" width="15.33203125" customWidth="1"/>
    <col min="4" max="4" width="16.6640625" customWidth="1"/>
    <col min="5" max="5" width="15.109375" customWidth="1"/>
    <col min="6" max="6" width="23.21875" customWidth="1"/>
    <col min="7" max="7" width="19.6640625" customWidth="1"/>
    <col min="8" max="8" width="14.109375" bestFit="1" customWidth="1"/>
  </cols>
  <sheetData>
    <row r="1" spans="1:8" x14ac:dyDescent="0.3">
      <c r="A1" t="s">
        <v>26</v>
      </c>
      <c r="B1" t="s">
        <v>27</v>
      </c>
      <c r="C1" t="s">
        <v>32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 x14ac:dyDescent="0.3">
      <c r="A2" t="str">
        <f>'Expense Data'!A2</f>
        <v>EXP001</v>
      </c>
      <c r="B2" t="str">
        <f>'Expense Data'!B2</f>
        <v>Arjun Mehta</v>
      </c>
      <c r="C2">
        <f>'Expense Data'!G2</f>
        <v>8500</v>
      </c>
      <c r="D2" t="str">
        <f>IF('Expense Data'!I2="Missing","Action Required","OK")</f>
        <v>OK</v>
      </c>
      <c r="E2" t="str">
        <f>IF('Expense Data'!J2="Pending","Pending Approval","OK")</f>
        <v>OK</v>
      </c>
      <c r="F2" t="str">
        <f>IF(OR('Expense Data'!K2="Pending",'Expense Data'!K2="Processing"),"Follow-up Required","OK")</f>
        <v>OK</v>
      </c>
      <c r="G2" t="str">
        <f>IF(OR(D2="Action Required",E2="Pending Approval",F2="Follow-up Required"),"Review Required","Clear")</f>
        <v>Clear</v>
      </c>
      <c r="H2" t="str">
        <f>IF(COUNTIF('Expense Data'!$A:$A,A2)&gt;1,"Duplicate","Unique")</f>
        <v>Unique</v>
      </c>
    </row>
    <row r="3" spans="1:8" x14ac:dyDescent="0.3">
      <c r="A3" t="str">
        <f>'Expense Data'!A3</f>
        <v>EXP002</v>
      </c>
      <c r="B3" t="str">
        <f>'Expense Data'!B3</f>
        <v>Arjun Mehta</v>
      </c>
      <c r="C3">
        <f>'Expense Data'!G3</f>
        <v>12500</v>
      </c>
      <c r="D3" t="str">
        <f>IF('Expense Data'!I3="Missing","Action Required","OK")</f>
        <v>OK</v>
      </c>
      <c r="E3" t="str">
        <f>IF('Expense Data'!J3="Pending","Pending Approval","OK")</f>
        <v>OK</v>
      </c>
      <c r="F3" t="str">
        <f>IF(OR('Expense Data'!K3="Pending",'Expense Data'!K3="Processing"),"Follow-up Required","OK")</f>
        <v>OK</v>
      </c>
      <c r="G3" t="str">
        <f t="shared" ref="G3:G16" si="0">IF(OR(D3="Action Required",E3="Pending Approval",F3="Follow-up Required"),"Review Required","Clear")</f>
        <v>Clear</v>
      </c>
      <c r="H3" t="str">
        <f>IF(COUNTIF('Expense Data'!$A:$A,A3)&gt;1,"Duplicate","Unique")</f>
        <v>Unique</v>
      </c>
    </row>
    <row r="4" spans="1:8" x14ac:dyDescent="0.3">
      <c r="A4" t="str">
        <f>'Expense Data'!A4</f>
        <v>EXP003</v>
      </c>
      <c r="B4" t="str">
        <f>'Expense Data'!B4</f>
        <v>Priya Sharma</v>
      </c>
      <c r="C4">
        <f>'Expense Data'!G4</f>
        <v>4200</v>
      </c>
      <c r="D4" t="str">
        <f>IF('Expense Data'!I4="Missing","Action Required","OK")</f>
        <v>OK</v>
      </c>
      <c r="E4" t="str">
        <f>IF('Expense Data'!J4="Pending","Pending Approval","OK")</f>
        <v>OK</v>
      </c>
      <c r="F4" t="str">
        <f>IF(OR('Expense Data'!K4="Pending",'Expense Data'!K4="Processing"),"Follow-up Required","OK")</f>
        <v>OK</v>
      </c>
      <c r="G4" t="str">
        <f t="shared" si="0"/>
        <v>Clear</v>
      </c>
      <c r="H4" t="str">
        <f>IF(COUNTIF('Expense Data'!$A:$A,A4)&gt;1,"Duplicate","Unique")</f>
        <v>Unique</v>
      </c>
    </row>
    <row r="5" spans="1:8" x14ac:dyDescent="0.3">
      <c r="A5" t="str">
        <f>'Expense Data'!A5</f>
        <v>EXP004</v>
      </c>
      <c r="B5" t="str">
        <f>'Expense Data'!B5</f>
        <v>Rahul Kapoor</v>
      </c>
      <c r="C5">
        <f>'Expense Data'!G5</f>
        <v>850</v>
      </c>
      <c r="D5" t="str">
        <f>IF('Expense Data'!I5="Missing","Action Required","OK")</f>
        <v>OK</v>
      </c>
      <c r="E5" t="str">
        <f>IF('Expense Data'!J5="Pending","Pending Approval","OK")</f>
        <v>OK</v>
      </c>
      <c r="F5" t="str">
        <f>IF(OR('Expense Data'!K5="Pending",'Expense Data'!K5="Processing"),"Follow-up Required","OK")</f>
        <v>OK</v>
      </c>
      <c r="G5" t="str">
        <f t="shared" si="0"/>
        <v>Clear</v>
      </c>
      <c r="H5" t="str">
        <f>IF(COUNTIF('Expense Data'!$A:$A,A5)&gt;1,"Duplicate","Unique")</f>
        <v>Unique</v>
      </c>
    </row>
    <row r="6" spans="1:8" x14ac:dyDescent="0.3">
      <c r="A6" t="str">
        <f>'Expense Data'!A6</f>
        <v>EXP005</v>
      </c>
      <c r="B6" t="str">
        <f>'Expense Data'!B6</f>
        <v>Priya Sharma</v>
      </c>
      <c r="C6">
        <f>'Expense Data'!G6</f>
        <v>1750</v>
      </c>
      <c r="D6" t="str">
        <f>IF('Expense Data'!I6="Missing","Action Required","OK")</f>
        <v>OK</v>
      </c>
      <c r="E6" t="str">
        <f>IF('Expense Data'!J6="Pending","Pending Approval","OK")</f>
        <v>OK</v>
      </c>
      <c r="F6" t="str">
        <f>IF(OR('Expense Data'!K6="Pending",'Expense Data'!K6="Processing"),"Follow-up Required","OK")</f>
        <v>Follow-up Required</v>
      </c>
      <c r="G6" t="str">
        <f t="shared" si="0"/>
        <v>Review Required</v>
      </c>
      <c r="H6" t="str">
        <f>IF(COUNTIF('Expense Data'!$A:$A,A6)&gt;1,"Duplicate","Unique")</f>
        <v>Unique</v>
      </c>
    </row>
    <row r="7" spans="1:8" x14ac:dyDescent="0.3">
      <c r="A7" t="str">
        <f>'Expense Data'!A7</f>
        <v>EXP006</v>
      </c>
      <c r="B7" t="str">
        <f>'Expense Data'!B7</f>
        <v>Arjun Mehta</v>
      </c>
      <c r="C7">
        <f>'Expense Data'!G7</f>
        <v>7200</v>
      </c>
      <c r="D7" t="str">
        <f>IF('Expense Data'!I7="Missing","Action Required","OK")</f>
        <v>OK</v>
      </c>
      <c r="E7" t="str">
        <f>IF('Expense Data'!J7="Pending","Pending Approval","OK")</f>
        <v>OK</v>
      </c>
      <c r="F7" t="str">
        <f>IF(OR('Expense Data'!K7="Pending",'Expense Data'!K7="Processing"),"Follow-up Required","OK")</f>
        <v>Follow-up Required</v>
      </c>
      <c r="G7" t="str">
        <f t="shared" si="0"/>
        <v>Review Required</v>
      </c>
      <c r="H7" t="str">
        <f>IF(COUNTIF('Expense Data'!$A:$A,A7)&gt;1,"Duplicate","Unique")</f>
        <v>Unique</v>
      </c>
    </row>
    <row r="8" spans="1:8" x14ac:dyDescent="0.3">
      <c r="A8" t="str">
        <f>'Expense Data'!A8</f>
        <v>EXP007</v>
      </c>
      <c r="B8" t="str">
        <f>'Expense Data'!B8</f>
        <v>Rahul Kapoor</v>
      </c>
      <c r="C8">
        <f>'Expense Data'!G8</f>
        <v>1200</v>
      </c>
      <c r="D8" t="str">
        <f>IF('Expense Data'!I8="Missing","Action Required","OK")</f>
        <v>OK</v>
      </c>
      <c r="E8" t="str">
        <f>IF('Expense Data'!J8="Pending","Pending Approval","OK")</f>
        <v>Pending Approval</v>
      </c>
      <c r="F8" t="str">
        <f>IF(OR('Expense Data'!K8="Pending",'Expense Data'!K8="Processing"),"Follow-up Required","OK")</f>
        <v>Follow-up Required</v>
      </c>
      <c r="G8" t="str">
        <f t="shared" si="0"/>
        <v>Review Required</v>
      </c>
      <c r="H8" t="str">
        <f>IF(COUNTIF('Expense Data'!$A:$A,A8)&gt;1,"Duplicate","Unique")</f>
        <v>Unique</v>
      </c>
    </row>
    <row r="9" spans="1:8" x14ac:dyDescent="0.3">
      <c r="A9" t="str">
        <f>'Expense Data'!A9</f>
        <v>EXP008</v>
      </c>
      <c r="B9" t="str">
        <f>'Expense Data'!B9</f>
        <v>Priya Sharma</v>
      </c>
      <c r="C9">
        <f>'Expense Data'!G9</f>
        <v>9800</v>
      </c>
      <c r="D9" t="str">
        <f>IF('Expense Data'!I9="Missing","Action Required","OK")</f>
        <v>OK</v>
      </c>
      <c r="E9" t="str">
        <f>IF('Expense Data'!J9="Pending","Pending Approval","OK")</f>
        <v>OK</v>
      </c>
      <c r="F9" t="str">
        <f>IF(OR('Expense Data'!K9="Pending",'Expense Data'!K9="Processing"),"Follow-up Required","OK")</f>
        <v>OK</v>
      </c>
      <c r="G9" t="str">
        <f t="shared" si="0"/>
        <v>Clear</v>
      </c>
      <c r="H9" t="str">
        <f>IF(COUNTIF('Expense Data'!$A:$A,A9)&gt;1,"Duplicate","Unique")</f>
        <v>Unique</v>
      </c>
    </row>
    <row r="10" spans="1:8" x14ac:dyDescent="0.3">
      <c r="A10" t="str">
        <f>'Expense Data'!A10</f>
        <v>EXP009</v>
      </c>
      <c r="B10" t="str">
        <f>'Expense Data'!B10</f>
        <v>Arjun Mehta</v>
      </c>
      <c r="C10">
        <f>'Expense Data'!G10</f>
        <v>3500</v>
      </c>
      <c r="D10" t="str">
        <f>IF('Expense Data'!I10="Missing","Action Required","OK")</f>
        <v>OK</v>
      </c>
      <c r="E10" t="str">
        <f>IF('Expense Data'!J10="Pending","Pending Approval","OK")</f>
        <v>Pending Approval</v>
      </c>
      <c r="F10" t="str">
        <f>IF(OR('Expense Data'!K10="Pending",'Expense Data'!K10="Processing"),"Follow-up Required","OK")</f>
        <v>Follow-up Required</v>
      </c>
      <c r="G10" t="str">
        <f t="shared" si="0"/>
        <v>Review Required</v>
      </c>
      <c r="H10" t="str">
        <f>IF(COUNTIF('Expense Data'!$A:$A,A10)&gt;1,"Duplicate","Unique")</f>
        <v>Unique</v>
      </c>
    </row>
    <row r="11" spans="1:8" x14ac:dyDescent="0.3">
      <c r="A11" t="str">
        <f>'Expense Data'!A11</f>
        <v>EXP010</v>
      </c>
      <c r="B11" t="str">
        <f>'Expense Data'!B11</f>
        <v>Rahul Kapoor</v>
      </c>
      <c r="C11">
        <f>'Expense Data'!G11</f>
        <v>1100</v>
      </c>
      <c r="D11" t="str">
        <f>IF('Expense Data'!I11="Missing","Action Required","OK")</f>
        <v>Action Required</v>
      </c>
      <c r="E11" t="str">
        <f>IF('Expense Data'!J11="Pending","Pending Approval","OK")</f>
        <v>OK</v>
      </c>
      <c r="F11" t="str">
        <f>IF(OR('Expense Data'!K11="Pending",'Expense Data'!K11="Processing"),"Follow-up Required","OK")</f>
        <v>Follow-up Required</v>
      </c>
      <c r="G11" t="str">
        <f t="shared" si="0"/>
        <v>Review Required</v>
      </c>
      <c r="H11" t="str">
        <f>IF(COUNTIF('Expense Data'!$A:$A,A11)&gt;1,"Duplicate","Unique")</f>
        <v>Unique</v>
      </c>
    </row>
    <row r="12" spans="1:8" x14ac:dyDescent="0.3">
      <c r="A12" t="str">
        <f>'Expense Data'!A12</f>
        <v>EXP011</v>
      </c>
      <c r="B12" t="str">
        <f>'Expense Data'!B12</f>
        <v>Priya Sharma</v>
      </c>
      <c r="C12">
        <f>'Expense Data'!G12</f>
        <v>1850</v>
      </c>
      <c r="D12" t="str">
        <f>IF('Expense Data'!I12="Missing","Action Required","OK")</f>
        <v>OK</v>
      </c>
      <c r="E12" t="str">
        <f>IF('Expense Data'!J12="Pending","Pending Approval","OK")</f>
        <v>OK</v>
      </c>
      <c r="F12" t="str">
        <f>IF(OR('Expense Data'!K12="Pending",'Expense Data'!K12="Processing"),"Follow-up Required","OK")</f>
        <v>OK</v>
      </c>
      <c r="G12" t="str">
        <f t="shared" si="0"/>
        <v>Clear</v>
      </c>
      <c r="H12" t="str">
        <f>IF(COUNTIF('Expense Data'!$A:$A,A12)&gt;1,"Duplicate","Unique")</f>
        <v>Unique</v>
      </c>
    </row>
    <row r="13" spans="1:8" x14ac:dyDescent="0.3">
      <c r="A13" t="str">
        <f>'Expense Data'!A13</f>
        <v>EXP012</v>
      </c>
      <c r="B13" t="str">
        <f>'Expense Data'!B13</f>
        <v>Arjun Mehta</v>
      </c>
      <c r="C13">
        <f>'Expense Data'!G13</f>
        <v>5600</v>
      </c>
      <c r="D13" t="str">
        <f>IF('Expense Data'!I13="Missing","Action Required","OK")</f>
        <v>OK</v>
      </c>
      <c r="E13" t="str">
        <f>IF('Expense Data'!J13="Pending","Pending Approval","OK")</f>
        <v>OK</v>
      </c>
      <c r="F13" t="str">
        <f>IF(OR('Expense Data'!K13="Pending",'Expense Data'!K13="Processing"),"Follow-up Required","OK")</f>
        <v>Follow-up Required</v>
      </c>
      <c r="G13" t="str">
        <f t="shared" si="0"/>
        <v>Review Required</v>
      </c>
      <c r="H13" t="str">
        <f>IF(COUNTIF('Expense Data'!$A:$A,A13)&gt;1,"Duplicate","Unique")</f>
        <v>Unique</v>
      </c>
    </row>
    <row r="14" spans="1:8" x14ac:dyDescent="0.3">
      <c r="A14" t="str">
        <f>'Expense Data'!A14</f>
        <v>EXP013</v>
      </c>
      <c r="B14" t="str">
        <f>'Expense Data'!B14</f>
        <v>Rahul Kapoor</v>
      </c>
      <c r="C14">
        <f>'Expense Data'!G14</f>
        <v>2300</v>
      </c>
      <c r="D14" t="str">
        <f>IF('Expense Data'!I14="Missing","Action Required","OK")</f>
        <v>OK</v>
      </c>
      <c r="E14" t="str">
        <f>IF('Expense Data'!J14="Pending","Pending Approval","OK")</f>
        <v>OK</v>
      </c>
      <c r="F14" t="str">
        <f>IF(OR('Expense Data'!K14="Pending",'Expense Data'!K14="Processing"),"Follow-up Required","OK")</f>
        <v>OK</v>
      </c>
      <c r="G14" t="str">
        <f t="shared" si="0"/>
        <v>Clear</v>
      </c>
      <c r="H14" t="str">
        <f>IF(COUNTIF('Expense Data'!$A:$A,A14)&gt;1,"Duplicate","Unique")</f>
        <v>Unique</v>
      </c>
    </row>
    <row r="15" spans="1:8" x14ac:dyDescent="0.3">
      <c r="A15" t="str">
        <f>'Expense Data'!A15</f>
        <v>EXP014</v>
      </c>
      <c r="B15" t="str">
        <f>'Expense Data'!B15</f>
        <v>Priya Sharma</v>
      </c>
      <c r="C15">
        <f>'Expense Data'!G15</f>
        <v>999</v>
      </c>
      <c r="D15" t="str">
        <f>IF('Expense Data'!I15="Missing","Action Required","OK")</f>
        <v>OK</v>
      </c>
      <c r="E15" t="str">
        <f>IF('Expense Data'!J15="Pending","Pending Approval","OK")</f>
        <v>Pending Approval</v>
      </c>
      <c r="F15" t="str">
        <f>IF(OR('Expense Data'!K15="Pending",'Expense Data'!K15="Processing"),"Follow-up Required","OK")</f>
        <v>Follow-up Required</v>
      </c>
      <c r="G15" t="str">
        <f t="shared" si="0"/>
        <v>Review Required</v>
      </c>
      <c r="H15" t="str">
        <f>IF(COUNTIF('Expense Data'!$A:$A,A15)&gt;1,"Duplicate","Unique")</f>
        <v>Unique</v>
      </c>
    </row>
    <row r="16" spans="1:8" x14ac:dyDescent="0.3">
      <c r="A16" t="str">
        <f>'Expense Data'!A16</f>
        <v>EXP015</v>
      </c>
      <c r="B16" t="str">
        <f>'Expense Data'!B16</f>
        <v>Arjun Mehta</v>
      </c>
      <c r="C16">
        <f>'Expense Data'!G16</f>
        <v>9200</v>
      </c>
      <c r="D16" t="str">
        <f>IF('Expense Data'!I16="Missing","Action Required","OK")</f>
        <v>OK</v>
      </c>
      <c r="E16" t="str">
        <f>IF('Expense Data'!J16="Pending","Pending Approval","OK")</f>
        <v>OK</v>
      </c>
      <c r="F16" t="str">
        <f>IF(OR('Expense Data'!K16="Pending",'Expense Data'!K16="Processing"),"Follow-up Required","OK")</f>
        <v>OK</v>
      </c>
      <c r="G16" t="str">
        <f t="shared" si="0"/>
        <v>Clear</v>
      </c>
      <c r="H16" t="str">
        <f>IF(COUNTIF('Expense Data'!$A:$A,A16)&gt;1,"Duplicate","Unique")</f>
        <v>Unique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065F-5000-4A54-B9F3-AFC5880956C3}">
  <dimension ref="A1:J28"/>
  <sheetViews>
    <sheetView showGridLines="0" tabSelected="1" topLeftCell="A3" zoomScaleNormal="100" workbookViewId="0">
      <selection activeCell="G28" sqref="G28"/>
    </sheetView>
  </sheetViews>
  <sheetFormatPr defaultRowHeight="14.4" x14ac:dyDescent="0.3"/>
  <cols>
    <col min="1" max="1" width="39.77734375" bestFit="1" customWidth="1"/>
    <col min="2" max="2" width="11.88671875" customWidth="1"/>
    <col min="3" max="3" width="29.109375" customWidth="1"/>
    <col min="4" max="4" width="20.77734375" bestFit="1" customWidth="1"/>
    <col min="5" max="5" width="18.88671875" style="2" customWidth="1"/>
    <col min="7" max="7" width="33.33203125" customWidth="1"/>
    <col min="8" max="8" width="12.77734375" customWidth="1"/>
    <col min="9" max="9" width="20.77734375" bestFit="1" customWidth="1"/>
  </cols>
  <sheetData>
    <row r="1" spans="1:8" ht="23.4" customHeight="1" x14ac:dyDescent="0.3">
      <c r="A1" s="5" t="s">
        <v>87</v>
      </c>
      <c r="B1" s="6"/>
      <c r="C1" s="6"/>
      <c r="D1" s="6"/>
      <c r="E1" s="6"/>
      <c r="F1" s="6"/>
      <c r="G1" s="6"/>
      <c r="H1" s="7"/>
    </row>
    <row r="2" spans="1:8" x14ac:dyDescent="0.3">
      <c r="A2" s="8"/>
      <c r="B2" s="9"/>
      <c r="C2" s="9"/>
      <c r="D2" s="9"/>
      <c r="E2" s="9"/>
      <c r="F2" s="9"/>
      <c r="G2" s="9"/>
      <c r="H2" s="10"/>
    </row>
    <row r="3" spans="1:8" ht="21" x14ac:dyDescent="0.3">
      <c r="A3" s="12" t="s">
        <v>88</v>
      </c>
      <c r="B3" s="13"/>
      <c r="C3" s="12" t="s">
        <v>89</v>
      </c>
      <c r="D3" s="11"/>
      <c r="E3" s="12" t="s">
        <v>90</v>
      </c>
      <c r="F3" s="11"/>
      <c r="G3" s="12" t="s">
        <v>91</v>
      </c>
      <c r="H3" s="14"/>
    </row>
    <row r="4" spans="1:8" ht="21" x14ac:dyDescent="0.3">
      <c r="A4" s="15">
        <f>SUM(ExpenseTable[Amount])</f>
        <v>70549</v>
      </c>
      <c r="B4" s="16"/>
      <c r="C4" s="15">
        <f>SUMIFS(ExpenseTable[Amount],ExpenseTable[Approval Status],"Approved")</f>
        <v>64850</v>
      </c>
      <c r="D4" s="16"/>
      <c r="E4" s="15">
        <f>SUMIFS(ExpenseTable[Amount],ExpenseTable[Approval Status],"Pending")</f>
        <v>5699</v>
      </c>
      <c r="F4" s="16"/>
      <c r="G4" s="17">
        <f>SUMIFS(ExpenseTable[Amount],ExpenseTable[Reimbursement Status],"Reimbursed")</f>
        <v>49200</v>
      </c>
      <c r="H4" s="14"/>
    </row>
    <row r="7" spans="1:8" x14ac:dyDescent="0.3">
      <c r="A7" s="18" t="s">
        <v>29</v>
      </c>
      <c r="B7" s="18" t="s">
        <v>92</v>
      </c>
    </row>
    <row r="8" spans="1:8" x14ac:dyDescent="0.3">
      <c r="A8" t="s">
        <v>0</v>
      </c>
      <c r="B8" s="19">
        <f>SUMIFS(ExpenseTable[Amount],ExpenseTable[Category],A8)</f>
        <v>26750</v>
      </c>
    </row>
    <row r="9" spans="1:8" x14ac:dyDescent="0.3">
      <c r="A9" t="s">
        <v>1</v>
      </c>
      <c r="B9" s="19">
        <f>SUMIFS(ExpenseTable[Amount],ExpenseTable[Category],A9)</f>
        <v>22300</v>
      </c>
    </row>
    <row r="10" spans="1:8" x14ac:dyDescent="0.3">
      <c r="A10" t="s">
        <v>2</v>
      </c>
      <c r="B10" s="19">
        <f>SUMIFS(ExpenseTable[Amount],ExpenseTable[Category],A10)</f>
        <v>7700</v>
      </c>
      <c r="D10" s="3"/>
    </row>
    <row r="11" spans="1:8" x14ac:dyDescent="0.3">
      <c r="A11" t="s">
        <v>3</v>
      </c>
      <c r="B11" s="19">
        <f>SUMIFS(ExpenseTable[Amount],ExpenseTable[Category],A11)</f>
        <v>1950</v>
      </c>
    </row>
    <row r="12" spans="1:8" x14ac:dyDescent="0.3">
      <c r="A12" t="s">
        <v>4</v>
      </c>
      <c r="B12" s="19">
        <f>SUMIFS(ExpenseTable[Amount],ExpenseTable[Category],A12)</f>
        <v>4050</v>
      </c>
    </row>
    <row r="13" spans="1:8" x14ac:dyDescent="0.3">
      <c r="A13" t="s">
        <v>5</v>
      </c>
      <c r="B13" s="19">
        <f>SUMIFS(ExpenseTable[Amount],ExpenseTable[Category],A13)</f>
        <v>5600</v>
      </c>
    </row>
    <row r="14" spans="1:8" x14ac:dyDescent="0.3">
      <c r="A14" t="s">
        <v>6</v>
      </c>
      <c r="B14" s="19">
        <f>SUMIFS(ExpenseTable[Amount],ExpenseTable[Category],A14)</f>
        <v>2199</v>
      </c>
    </row>
    <row r="15" spans="1:8" x14ac:dyDescent="0.3">
      <c r="A15" t="s">
        <v>7</v>
      </c>
      <c r="B15" s="19">
        <f>SUMIFS(ExpenseTable[Amount],ExpenseTable[Category],A15)</f>
        <v>0</v>
      </c>
    </row>
    <row r="18" spans="1:10" x14ac:dyDescent="0.3">
      <c r="A18" s="18" t="s">
        <v>14</v>
      </c>
      <c r="B18" s="18" t="s">
        <v>93</v>
      </c>
      <c r="I18" s="20" t="s">
        <v>94</v>
      </c>
      <c r="J18" s="21"/>
    </row>
    <row r="19" spans="1:10" x14ac:dyDescent="0.3">
      <c r="A19" t="s">
        <v>16</v>
      </c>
      <c r="B19">
        <f>COUNTIF(ExpenseTable[Approval Status],A19)</f>
        <v>12</v>
      </c>
      <c r="I19" s="23" t="s">
        <v>95</v>
      </c>
      <c r="J19" s="24" t="s">
        <v>93</v>
      </c>
    </row>
    <row r="20" spans="1:10" x14ac:dyDescent="0.3">
      <c r="A20" t="s">
        <v>15</v>
      </c>
      <c r="B20">
        <f>COUNTIF(ExpenseTable[Approval Status],A20)</f>
        <v>3</v>
      </c>
      <c r="I20" s="4" t="s">
        <v>96</v>
      </c>
      <c r="J20" s="22">
        <f>COUNTIF(ExpenseTable[Approval Status],"Pending")</f>
        <v>3</v>
      </c>
    </row>
    <row r="21" spans="1:10" x14ac:dyDescent="0.3">
      <c r="A21" t="s">
        <v>17</v>
      </c>
      <c r="B21">
        <f>COUNTIF(ExpenseTable[Approval Status],A21)</f>
        <v>0</v>
      </c>
      <c r="I21" s="4" t="s">
        <v>97</v>
      </c>
      <c r="J21" s="22">
        <f>COUNTIF(ExpenseTable[Reimbursement Status],"Pending")</f>
        <v>5</v>
      </c>
    </row>
    <row r="22" spans="1:10" x14ac:dyDescent="0.3">
      <c r="I22" s="4" t="s">
        <v>98</v>
      </c>
      <c r="J22" s="22">
        <f>COUNTIF(ExpenseTable[Receipt Status],"Missing")</f>
        <v>1</v>
      </c>
    </row>
    <row r="23" spans="1:10" x14ac:dyDescent="0.3">
      <c r="I23" s="4" t="s">
        <v>99</v>
      </c>
      <c r="J23" s="22">
        <f>COUNTIF(Reconciliation!$H$2:$H$16,"Duplicate")</f>
        <v>0</v>
      </c>
    </row>
    <row r="24" spans="1:10" x14ac:dyDescent="0.3">
      <c r="A24" s="18" t="s">
        <v>18</v>
      </c>
      <c r="B24" s="18" t="s">
        <v>93</v>
      </c>
    </row>
    <row r="25" spans="1:10" x14ac:dyDescent="0.3">
      <c r="A25" t="s">
        <v>21</v>
      </c>
      <c r="B25">
        <f>COUNTIF(ExpenseTable[Reimbursement Status],A25)</f>
        <v>8</v>
      </c>
    </row>
    <row r="26" spans="1:10" x14ac:dyDescent="0.3">
      <c r="A26" t="s">
        <v>15</v>
      </c>
      <c r="B26">
        <f>COUNTIF(ExpenseTable[Reimbursement Status],A26)</f>
        <v>5</v>
      </c>
    </row>
    <row r="27" spans="1:10" x14ac:dyDescent="0.3">
      <c r="A27" t="s">
        <v>20</v>
      </c>
      <c r="B27">
        <f>COUNTIF(ExpenseTable[Reimbursement Status],A27)</f>
        <v>2</v>
      </c>
    </row>
    <row r="28" spans="1:10" x14ac:dyDescent="0.3">
      <c r="A28" t="s">
        <v>17</v>
      </c>
      <c r="B28">
        <f>COUNTIF(ExpenseTable[Reimbursement Status],A28)</f>
        <v>0</v>
      </c>
    </row>
  </sheetData>
  <mergeCells count="2">
    <mergeCell ref="A1:H2"/>
    <mergeCell ref="I18:J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3796-7B3A-4ACC-B2B3-25401EBB0B3D}">
  <dimension ref="A1:E9"/>
  <sheetViews>
    <sheetView workbookViewId="0">
      <selection activeCell="C10" sqref="C10"/>
    </sheetView>
  </sheetViews>
  <sheetFormatPr defaultRowHeight="14.4" x14ac:dyDescent="0.3"/>
  <cols>
    <col min="1" max="1" width="24.21875" customWidth="1"/>
    <col min="2" max="2" width="20.109375" customWidth="1"/>
    <col min="3" max="3" width="16.44140625" customWidth="1"/>
    <col min="4" max="4" width="27.33203125" customWidth="1"/>
    <col min="5" max="5" width="13.44140625" customWidth="1"/>
  </cols>
  <sheetData>
    <row r="1" spans="1:5" x14ac:dyDescent="0.3">
      <c r="A1" t="s">
        <v>8</v>
      </c>
      <c r="B1" t="s">
        <v>9</v>
      </c>
      <c r="C1" t="s">
        <v>14</v>
      </c>
      <c r="D1" t="s">
        <v>18</v>
      </c>
      <c r="E1" t="s">
        <v>22</v>
      </c>
    </row>
    <row r="2" spans="1:5" x14ac:dyDescent="0.3">
      <c r="A2" t="s">
        <v>0</v>
      </c>
      <c r="B2" t="s">
        <v>10</v>
      </c>
      <c r="C2" t="s">
        <v>15</v>
      </c>
      <c r="D2" t="s">
        <v>19</v>
      </c>
      <c r="E2" t="s">
        <v>23</v>
      </c>
    </row>
    <row r="3" spans="1:5" x14ac:dyDescent="0.3">
      <c r="A3" t="s">
        <v>1</v>
      </c>
      <c r="B3" t="s">
        <v>11</v>
      </c>
      <c r="C3" t="s">
        <v>16</v>
      </c>
      <c r="D3" t="s">
        <v>15</v>
      </c>
      <c r="E3" t="s">
        <v>24</v>
      </c>
    </row>
    <row r="4" spans="1:5" x14ac:dyDescent="0.3">
      <c r="A4" t="s">
        <v>2</v>
      </c>
      <c r="B4" t="s">
        <v>12</v>
      </c>
      <c r="C4" t="s">
        <v>17</v>
      </c>
      <c r="D4" t="s">
        <v>20</v>
      </c>
      <c r="E4" t="s">
        <v>25</v>
      </c>
    </row>
    <row r="5" spans="1:5" x14ac:dyDescent="0.3">
      <c r="A5" t="s">
        <v>3</v>
      </c>
      <c r="B5" t="s">
        <v>13</v>
      </c>
      <c r="D5" t="s">
        <v>21</v>
      </c>
    </row>
    <row r="6" spans="1:5" x14ac:dyDescent="0.3">
      <c r="A6" t="s">
        <v>4</v>
      </c>
      <c r="D6" t="s">
        <v>17</v>
      </c>
    </row>
    <row r="7" spans="1:5" x14ac:dyDescent="0.3">
      <c r="A7" t="s">
        <v>5</v>
      </c>
    </row>
    <row r="8" spans="1:5" x14ac:dyDescent="0.3">
      <c r="A8" t="s">
        <v>6</v>
      </c>
    </row>
    <row r="9" spans="1:5" x14ac:dyDescent="0.3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 Data</vt:lpstr>
      <vt:lpstr>Reconciliation</vt:lpstr>
      <vt:lpstr>Dashboard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⚡</dc:creator>
  <cp:lastModifiedBy>Arnav ⚡</cp:lastModifiedBy>
  <dcterms:created xsi:type="dcterms:W3CDTF">2026-10-07T07:07:49Z</dcterms:created>
  <dcterms:modified xsi:type="dcterms:W3CDTF">2026-10-07T08:59:19Z</dcterms:modified>
</cp:coreProperties>
</file>